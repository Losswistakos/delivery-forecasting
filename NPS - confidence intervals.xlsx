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<sst xmlns="http://schemas.openxmlformats.org/spreadsheetml/2006/main" count="30" uniqueCount="30">
  <si>
    <t>Scenario 1</t>
  </si>
  <si>
    <t>Scenario 2</t>
  </si>
  <si>
    <t>Scenario 3</t>
  </si>
  <si>
    <t>Scenario 4</t>
  </si>
  <si>
    <t>Scenario 5</t>
  </si>
  <si>
    <t>Scenario 6</t>
  </si>
  <si>
    <t>COPY AND PASTE THIS CALCULATOR TO MODIFY IT</t>
  </si>
  <si>
    <t>Detractors</t>
  </si>
  <si>
    <t>&lt;= Green - modify and create your own scenarios</t>
  </si>
  <si>
    <t>Passive</t>
  </si>
  <si>
    <t>Promoters</t>
  </si>
  <si>
    <t>Respondents (N)</t>
  </si>
  <si>
    <t>NPS result</t>
  </si>
  <si>
    <t>&lt;= Red - get your NPS results and confidence intervals here</t>
  </si>
  <si>
    <t>Real NPS (90% confidence)</t>
  </si>
  <si>
    <t>&lt;= Real NPS = NPS that you would get if you asked all of your customers</t>
  </si>
  <si>
    <t>Real NPS (95% confidence)</t>
  </si>
  <si>
    <t>&lt;= 95% confidence means that there is 5% of chance the real NPS is outside this interval</t>
  </si>
  <si>
    <t>Mean</t>
  </si>
  <si>
    <t>Var</t>
  </si>
  <si>
    <t>Stdev</t>
  </si>
  <si>
    <t>SEM</t>
  </si>
  <si>
    <t>90% CI</t>
  </si>
  <si>
    <t>z=1.645</t>
  </si>
  <si>
    <t>90% lower</t>
  </si>
  <si>
    <t>90% upper</t>
  </si>
  <si>
    <t>95% CI</t>
  </si>
  <si>
    <t>z=1.96</t>
  </si>
  <si>
    <t>95% lower</t>
  </si>
  <si>
    <t>95% upper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</si>
</sst>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"/>
  </numFmts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i/>
      <color rgb="FF999999"/>
      <name val="Arial"/>
      <scheme val="minor"/>
    </font>
    <font>
      <color rgb="FF999999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</fills>
  <borders count="6">
    <border/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2" fontId="1" numFmtId="0" xfId="0" applyAlignment="1" applyBorder="1" applyFont="1">
      <alignment readingOrder="0"/>
    </xf>
    <xf borderId="0" fillId="0" fontId="1" numFmtId="0" xfId="0" applyAlignment="1" applyFont="1">
      <alignment readingOrder="0"/>
    </xf>
    <xf borderId="3" fillId="3" fontId="2" numFmtId="0" xfId="0" applyAlignment="1" applyBorder="1" applyFill="1" applyFont="1">
      <alignment readingOrder="0"/>
    </xf>
    <xf borderId="0" fillId="3" fontId="2" numFmtId="0" xfId="0" applyAlignment="1" applyFont="1">
      <alignment readingOrder="0"/>
    </xf>
    <xf borderId="0" fillId="0" fontId="2" numFmtId="0" xfId="0" applyAlignment="1" applyFont="1">
      <alignment readingOrder="0"/>
    </xf>
    <xf borderId="3" fillId="4" fontId="2" numFmtId="0" xfId="0" applyAlignment="1" applyBorder="1" applyFill="1" applyFont="1">
      <alignment readingOrder="0"/>
    </xf>
    <xf borderId="0" fillId="4" fontId="2" numFmtId="0" xfId="0" applyAlignment="1" applyFont="1">
      <alignment readingOrder="0"/>
    </xf>
    <xf borderId="3" fillId="5" fontId="1" numFmtId="0" xfId="0" applyAlignment="1" applyBorder="1" applyFill="1" applyFont="1">
      <alignment readingOrder="0"/>
    </xf>
    <xf borderId="0" fillId="5" fontId="1" numFmtId="0" xfId="0" applyAlignment="1" applyFont="1">
      <alignment horizontal="center"/>
    </xf>
    <xf borderId="3" fillId="5" fontId="1" numFmtId="0" xfId="0" applyAlignment="1" applyBorder="1" applyFont="1">
      <alignment readingOrder="0" shrinkToFit="0" wrapText="1"/>
    </xf>
    <xf borderId="0" fillId="5" fontId="1" numFmtId="0" xfId="0" applyAlignment="1" applyFont="1">
      <alignment horizontal="center" vertical="center"/>
    </xf>
    <xf borderId="4" fillId="2" fontId="3" numFmtId="0" xfId="0" applyAlignment="1" applyBorder="1" applyFont="1">
      <alignment readingOrder="0"/>
    </xf>
    <xf borderId="5" fillId="0" fontId="3" numFmtId="0" xfId="0" applyBorder="1" applyFont="1"/>
    <xf borderId="3" fillId="2" fontId="3" numFmtId="0" xfId="0" applyAlignment="1" applyBorder="1" applyFont="1">
      <alignment readingOrder="0"/>
    </xf>
    <xf borderId="0" fillId="0" fontId="3" numFmtId="164" xfId="0" applyFont="1" applyNumberFormat="1"/>
    <xf borderId="0" fillId="0" fontId="3" numFmtId="0" xfId="0" applyAlignment="1" applyFont="1">
      <alignment readingOrder="0"/>
    </xf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5"/>
  </cols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3" t="s">
        <v>6</v>
      </c>
    </row>
    <row r="2">
      <c r="A2" s="4" t="s">
        <v>7</v>
      </c>
      <c r="B2" s="5">
        <v>10.0</v>
      </c>
      <c r="C2" s="5">
        <v>20.0</v>
      </c>
      <c r="D2" s="5">
        <v>100.0</v>
      </c>
      <c r="E2" s="5">
        <v>200.0</v>
      </c>
      <c r="F2" s="5">
        <v>1500.0</v>
      </c>
      <c r="G2" s="5">
        <v>2500.0</v>
      </c>
      <c r="H2" s="6" t="s">
        <v>8</v>
      </c>
    </row>
    <row r="3">
      <c r="A3" s="4" t="s">
        <v>9</v>
      </c>
      <c r="B3" s="5">
        <v>10.0</v>
      </c>
      <c r="C3" s="5">
        <v>40.0</v>
      </c>
      <c r="D3" s="5">
        <v>100.0</v>
      </c>
      <c r="E3" s="5">
        <v>200.0</v>
      </c>
      <c r="F3" s="5">
        <v>1500.0</v>
      </c>
      <c r="G3" s="5">
        <v>2500.0</v>
      </c>
    </row>
    <row r="4">
      <c r="A4" s="4" t="s">
        <v>10</v>
      </c>
      <c r="B4" s="5">
        <v>20.0</v>
      </c>
      <c r="C4" s="5">
        <v>40.0</v>
      </c>
      <c r="D4" s="5">
        <v>200.0</v>
      </c>
      <c r="E4" s="5">
        <v>400.0</v>
      </c>
      <c r="F4" s="5">
        <v>3000.0</v>
      </c>
      <c r="G4" s="5">
        <v>5000.0</v>
      </c>
    </row>
    <row r="5">
      <c r="A5" s="7" t="s">
        <v>11</v>
      </c>
      <c r="B5" s="8">
        <f t="shared" ref="B5:G5" si="1">sum(B2:B4)</f>
        <v>40</v>
      </c>
      <c r="C5" s="8">
        <f t="shared" si="1"/>
        <v>100</v>
      </c>
      <c r="D5" s="8">
        <f t="shared" si="1"/>
        <v>400</v>
      </c>
      <c r="E5" s="8">
        <f t="shared" si="1"/>
        <v>800</v>
      </c>
      <c r="F5" s="8">
        <f t="shared" si="1"/>
        <v>6000</v>
      </c>
      <c r="G5" s="8">
        <f t="shared" si="1"/>
        <v>10000</v>
      </c>
    </row>
    <row r="6">
      <c r="A6" s="9" t="s">
        <v>12</v>
      </c>
      <c r="B6" s="10">
        <f t="shared" ref="B6:G6" si="2">(B4-B2)*100/sum(B2:B4)</f>
        <v>25</v>
      </c>
      <c r="C6" s="10">
        <f t="shared" si="2"/>
        <v>20</v>
      </c>
      <c r="D6" s="10">
        <f t="shared" si="2"/>
        <v>25</v>
      </c>
      <c r="E6" s="10">
        <f t="shared" si="2"/>
        <v>25</v>
      </c>
      <c r="F6" s="10">
        <f t="shared" si="2"/>
        <v>25</v>
      </c>
      <c r="G6" s="10">
        <f t="shared" si="2"/>
        <v>25</v>
      </c>
      <c r="H6" s="6" t="s">
        <v>13</v>
      </c>
    </row>
    <row r="7">
      <c r="A7" s="11" t="s">
        <v>14</v>
      </c>
      <c r="B7" s="12" t="str">
        <f t="shared" ref="B7:G7" si="3">CONCATENATE(round(B14*100,0), " to ",round(B15*100,0))</f>
        <v>3 to 47</v>
      </c>
      <c r="C7" s="12" t="str">
        <f t="shared" si="3"/>
        <v>8 to 32</v>
      </c>
      <c r="D7" s="12" t="str">
        <f t="shared" si="3"/>
        <v>18 to 32</v>
      </c>
      <c r="E7" s="12" t="str">
        <f t="shared" si="3"/>
        <v>20 to 30</v>
      </c>
      <c r="F7" s="12" t="str">
        <f t="shared" si="3"/>
        <v>23 to 27</v>
      </c>
      <c r="G7" s="12" t="str">
        <f t="shared" si="3"/>
        <v>24 to 26</v>
      </c>
      <c r="H7" s="6" t="s">
        <v>15</v>
      </c>
    </row>
    <row r="8">
      <c r="A8" s="11" t="s">
        <v>16</v>
      </c>
      <c r="B8" s="12" t="str">
        <f t="shared" ref="B8:G8" si="4">CONCATENATE(round(B17*100,0), " to ",round(B18*100,0))</f>
        <v>-1 to 51</v>
      </c>
      <c r="C8" s="12" t="str">
        <f t="shared" si="4"/>
        <v>5 to 35</v>
      </c>
      <c r="D8" s="12" t="str">
        <f t="shared" si="4"/>
        <v>17 to 33</v>
      </c>
      <c r="E8" s="12" t="str">
        <f t="shared" si="4"/>
        <v>19 to 31</v>
      </c>
      <c r="F8" s="12" t="str">
        <f t="shared" si="4"/>
        <v>23 to 27</v>
      </c>
      <c r="G8" s="12" t="str">
        <f t="shared" si="4"/>
        <v>23 to 27</v>
      </c>
      <c r="H8" s="6" t="s">
        <v>17</v>
      </c>
    </row>
    <row r="9">
      <c r="A9" s="13" t="s">
        <v>18</v>
      </c>
      <c r="B9" s="14">
        <f t="shared" ref="B9:G9" si="5">(B4-B2)/B5</f>
        <v>0.25</v>
      </c>
      <c r="C9" s="14">
        <f t="shared" si="5"/>
        <v>0.2</v>
      </c>
      <c r="D9" s="14">
        <f t="shared" si="5"/>
        <v>0.25</v>
      </c>
      <c r="E9" s="14">
        <f t="shared" si="5"/>
        <v>0.25</v>
      </c>
      <c r="F9" s="14">
        <f t="shared" si="5"/>
        <v>0.25</v>
      </c>
      <c r="G9" s="14">
        <f t="shared" si="5"/>
        <v>0.25</v>
      </c>
    </row>
    <row r="10">
      <c r="A10" s="15" t="s">
        <v>19</v>
      </c>
      <c r="B10" s="16">
        <f t="shared" ref="B10:G10" si="6">(B2*(-1-B9)^2+B3*(0-B9)^2+B4*(1-B9)^2)/(B5-1)</f>
        <v>0.7051282051</v>
      </c>
      <c r="C10" s="16">
        <f t="shared" si="6"/>
        <v>0.5656565657</v>
      </c>
      <c r="D10" s="16">
        <f t="shared" si="6"/>
        <v>0.6892230576</v>
      </c>
      <c r="E10" s="16">
        <f t="shared" si="6"/>
        <v>0.6883604506</v>
      </c>
      <c r="F10" s="16">
        <f t="shared" si="6"/>
        <v>0.6876146024</v>
      </c>
      <c r="G10" s="16">
        <f t="shared" si="6"/>
        <v>0.6875687569</v>
      </c>
    </row>
    <row r="11">
      <c r="A11" s="15" t="s">
        <v>20</v>
      </c>
      <c r="B11" s="16">
        <f t="shared" ref="B11:G11" si="7">SQRT(B10)</f>
        <v>0.8397191228</v>
      </c>
      <c r="C11" s="16">
        <f t="shared" si="7"/>
        <v>0.7521014331</v>
      </c>
      <c r="D11" s="16">
        <f t="shared" si="7"/>
        <v>0.8301945902</v>
      </c>
      <c r="E11" s="16">
        <f t="shared" si="7"/>
        <v>0.8296749066</v>
      </c>
      <c r="F11" s="16">
        <f t="shared" si="7"/>
        <v>0.8292253026</v>
      </c>
      <c r="G11" s="16">
        <f t="shared" si="7"/>
        <v>0.8291976585</v>
      </c>
    </row>
    <row r="12">
      <c r="A12" s="15" t="s">
        <v>21</v>
      </c>
      <c r="B12" s="16">
        <f t="shared" ref="B12:G12" si="8">B11/SQRT(B5)</f>
        <v>0.1327712511</v>
      </c>
      <c r="C12" s="16">
        <f t="shared" si="8"/>
        <v>0.07521014331</v>
      </c>
      <c r="D12" s="16">
        <f t="shared" si="8"/>
        <v>0.04150972951</v>
      </c>
      <c r="E12" s="16">
        <f t="shared" si="8"/>
        <v>0.02933343763</v>
      </c>
      <c r="F12" s="16">
        <f t="shared" si="8"/>
        <v>0.01070525262</v>
      </c>
      <c r="G12" s="16">
        <f t="shared" si="8"/>
        <v>0.008291976585</v>
      </c>
    </row>
    <row r="13">
      <c r="A13" s="15" t="s">
        <v>22</v>
      </c>
      <c r="B13" s="16">
        <f t="shared" ref="B13:G13" si="9">1.645*B12</f>
        <v>0.2184087081</v>
      </c>
      <c r="C13" s="16">
        <f t="shared" si="9"/>
        <v>0.1237206857</v>
      </c>
      <c r="D13" s="16">
        <f t="shared" si="9"/>
        <v>0.06828350505</v>
      </c>
      <c r="E13" s="16">
        <f t="shared" si="9"/>
        <v>0.0482535049</v>
      </c>
      <c r="F13" s="16">
        <f t="shared" si="9"/>
        <v>0.01761014057</v>
      </c>
      <c r="G13" s="16">
        <f t="shared" si="9"/>
        <v>0.01364030148</v>
      </c>
      <c r="H13" s="17" t="s">
        <v>23</v>
      </c>
    </row>
    <row r="14">
      <c r="A14" s="15" t="s">
        <v>24</v>
      </c>
      <c r="B14" s="16">
        <f t="shared" ref="B14:G14" si="10">B9-B13</f>
        <v>0.03159129188</v>
      </c>
      <c r="C14" s="16">
        <f t="shared" si="10"/>
        <v>0.07627931426</v>
      </c>
      <c r="D14" s="16">
        <f t="shared" si="10"/>
        <v>0.181716495</v>
      </c>
      <c r="E14" s="16">
        <f t="shared" si="10"/>
        <v>0.2017464951</v>
      </c>
      <c r="F14" s="16">
        <f t="shared" si="10"/>
        <v>0.2323898594</v>
      </c>
      <c r="G14" s="16">
        <f t="shared" si="10"/>
        <v>0.2363596985</v>
      </c>
      <c r="H14" s="18"/>
    </row>
    <row r="15">
      <c r="A15" s="15" t="s">
        <v>25</v>
      </c>
      <c r="B15" s="16">
        <f t="shared" ref="B15:G15" si="11">B9+B13</f>
        <v>0.4684087081</v>
      </c>
      <c r="C15" s="16">
        <f t="shared" si="11"/>
        <v>0.3237206857</v>
      </c>
      <c r="D15" s="16">
        <f t="shared" si="11"/>
        <v>0.318283505</v>
      </c>
      <c r="E15" s="16">
        <f t="shared" si="11"/>
        <v>0.2982535049</v>
      </c>
      <c r="F15" s="16">
        <f t="shared" si="11"/>
        <v>0.2676101406</v>
      </c>
      <c r="G15" s="16">
        <f t="shared" si="11"/>
        <v>0.2636403015</v>
      </c>
      <c r="H15" s="18"/>
    </row>
    <row r="16">
      <c r="A16" s="15" t="s">
        <v>26</v>
      </c>
      <c r="B16" s="16">
        <f t="shared" ref="B16:G16" si="12">1.96*B12</f>
        <v>0.2602316522</v>
      </c>
      <c r="C16" s="16">
        <f t="shared" si="12"/>
        <v>0.1474118809</v>
      </c>
      <c r="D16" s="16">
        <f t="shared" si="12"/>
        <v>0.08135906984</v>
      </c>
      <c r="E16" s="16">
        <f t="shared" si="12"/>
        <v>0.05749353776</v>
      </c>
      <c r="F16" s="16">
        <f t="shared" si="12"/>
        <v>0.02098229514</v>
      </c>
      <c r="G16" s="16">
        <f t="shared" si="12"/>
        <v>0.01625227411</v>
      </c>
      <c r="H16" s="17" t="s">
        <v>27</v>
      </c>
    </row>
    <row r="17">
      <c r="A17" s="15" t="s">
        <v>28</v>
      </c>
      <c r="B17" s="16">
        <f t="shared" ref="B17:G17" si="13">B9-B16</f>
        <v>-0.01023165223</v>
      </c>
      <c r="C17" s="16">
        <f t="shared" si="13"/>
        <v>0.05258811911</v>
      </c>
      <c r="D17" s="16">
        <f t="shared" si="13"/>
        <v>0.1686409302</v>
      </c>
      <c r="E17" s="16">
        <f t="shared" si="13"/>
        <v>0.1925064622</v>
      </c>
      <c r="F17" s="16">
        <f t="shared" si="13"/>
        <v>0.2290177049</v>
      </c>
      <c r="G17" s="16">
        <f t="shared" si="13"/>
        <v>0.2337477259</v>
      </c>
    </row>
    <row r="18">
      <c r="A18" s="15" t="s">
        <v>29</v>
      </c>
      <c r="B18" s="16">
        <f t="shared" ref="B18:G18" si="14">B9+B16</f>
        <v>0.5102316522</v>
      </c>
      <c r="C18" s="16">
        <f t="shared" si="14"/>
        <v>0.3474118809</v>
      </c>
      <c r="D18" s="16">
        <f t="shared" si="14"/>
        <v>0.3313590698</v>
      </c>
      <c r="E18" s="16">
        <f t="shared" si="14"/>
        <v>0.3074935378</v>
      </c>
      <c r="F18" s="16">
        <f t="shared" si="14"/>
        <v>0.2709822951</v>
      </c>
      <c r="G18" s="16">
        <f t="shared" si="14"/>
        <v>0.2662522741</v>
      </c>
    </row>
  </sheetData>
  <drawing r:id="rId1"/>
</worksheet>
</file>